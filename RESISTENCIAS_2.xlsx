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em2025\pizzaController\"/>
    </mc:Choice>
  </mc:AlternateContent>
  <xr:revisionPtr revIDLastSave="0" documentId="13_ncr:1_{C00D90B8-113B-41A1-BFAE-8A2774F79E19}" xr6:coauthVersionLast="47" xr6:coauthVersionMax="47" xr10:uidLastSave="{00000000-0000-0000-0000-000000000000}"/>
  <bookViews>
    <workbookView xWindow="-120" yWindow="-120" windowWidth="29040" windowHeight="15720" xr2:uid="{DB237D7F-AB2E-4F35-B9A6-125F53A52A12}"/>
  </bookViews>
  <sheets>
    <sheet name="Sheet1 (2)" sheetId="2" r:id="rId1"/>
    <sheet name="Sheet1" sheetId="1" r:id="rId2"/>
  </sheets>
  <definedNames>
    <definedName name="solver_adj" localSheetId="0" hidden="1">'Sheet1 (2)'!$A$33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'Sheet1 (2)'!$A$33</definedName>
    <definedName name="solver_lhs2" localSheetId="0" hidden="1">'Sheet1 (2)'!$A$33</definedName>
    <definedName name="solver_lhs3" localSheetId="0" hidden="1">'Sheet1 (2)'!$A$33</definedName>
    <definedName name="solver_lhs4" localSheetId="0" hidden="1">'Sheet1 (2)'!$J$3:$J$27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'Sheet1 (2)'!$I$39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4</definedName>
    <definedName name="solver_rel3" localSheetId="0" hidden="1">3</definedName>
    <definedName name="solver_rel4" localSheetId="0" hidden="1">3</definedName>
    <definedName name="solver_rhs1" localSheetId="0" hidden="1">24</definedName>
    <definedName name="solver_rhs2" localSheetId="0" hidden="1">"integer"</definedName>
    <definedName name="solver_rhs3" localSheetId="0" hidden="1">1</definedName>
    <definedName name="solver_rhs4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2" l="1" a="1"/>
  <c r="D65" i="2"/>
  <c r="D66" i="2"/>
  <c r="C61" i="2"/>
  <c r="D60" i="2"/>
  <c r="C52" i="2"/>
  <c r="C53" i="2" s="1"/>
  <c r="C51" i="2"/>
  <c r="C50" i="2"/>
  <c r="D49" i="2"/>
  <c r="D34" i="2"/>
  <c r="C35" i="2"/>
  <c r="F3" i="1"/>
  <c r="D4" i="2" a="1"/>
  <c r="E4" i="2" s="1"/>
  <c r="D5" i="2" a="1"/>
  <c r="D6" i="2" a="1"/>
  <c r="D7" i="2" a="1"/>
  <c r="D8" i="2" a="1"/>
  <c r="D9" i="2" a="1"/>
  <c r="L3" i="2" a="1"/>
  <c r="C4" i="2"/>
  <c r="B4" i="2" s="1"/>
  <c r="I4" i="2"/>
  <c r="I5" i="2" s="1"/>
  <c r="I6" i="2" s="1"/>
  <c r="I7" i="2" s="1"/>
  <c r="I8" i="2" s="1"/>
  <c r="C8" i="2" s="1"/>
  <c r="B8" i="2" s="1"/>
  <c r="C5" i="1"/>
  <c r="D5" i="1" s="1"/>
  <c r="E5" i="1" s="1"/>
  <c r="C6" i="1"/>
  <c r="D6" i="1" s="1"/>
  <c r="E6" i="1" s="1"/>
  <c r="F6" i="1" s="1"/>
  <c r="C7" i="1"/>
  <c r="D7" i="1" s="1"/>
  <c r="E7" i="1" s="1"/>
  <c r="C8" i="1"/>
  <c r="D8" i="1" s="1"/>
  <c r="E8" i="1" s="1"/>
  <c r="C9" i="1"/>
  <c r="D9" i="1" s="1"/>
  <c r="E9" i="1" s="1"/>
  <c r="C4" i="1"/>
  <c r="D4" i="1" s="1"/>
  <c r="E4" i="1" s="1"/>
  <c r="F4" i="1" s="1"/>
  <c r="B34" i="2" l="1" a="1"/>
  <c r="B60" i="2" a="1"/>
  <c r="B49" i="2" a="1"/>
  <c r="B51" i="2"/>
  <c r="F49" i="2"/>
  <c r="G49" i="2" s="1" a="1"/>
  <c r="B50" i="2"/>
  <c r="F50" i="2" s="1"/>
  <c r="H50" i="2" s="1"/>
  <c r="I50" i="2" s="1"/>
  <c r="F60" i="2"/>
  <c r="G60" i="2" s="1" a="1"/>
  <c r="C62" i="2"/>
  <c r="B61" i="2"/>
  <c r="F61" i="2" s="1"/>
  <c r="G61" i="2" s="1" a="1"/>
  <c r="D61" i="2"/>
  <c r="D35" i="2"/>
  <c r="C36" i="2"/>
  <c r="D50" i="2"/>
  <c r="F34" i="2"/>
  <c r="G34" i="2" s="1" a="1"/>
  <c r="B36" i="2"/>
  <c r="B35" i="2"/>
  <c r="F8" i="1"/>
  <c r="F9" i="1"/>
  <c r="F7" i="1"/>
  <c r="F5" i="1"/>
  <c r="C7" i="2"/>
  <c r="B7" i="2" s="1"/>
  <c r="C6" i="2"/>
  <c r="B6" i="2" s="1"/>
  <c r="C5" i="2"/>
  <c r="B5" i="2" s="1"/>
  <c r="I9" i="2"/>
  <c r="F4" i="2"/>
  <c r="G4" i="2" s="1"/>
  <c r="H4" i="2" s="1"/>
  <c r="E9" i="2"/>
  <c r="E7" i="2"/>
  <c r="E6" i="2"/>
  <c r="E5" i="2"/>
  <c r="E8" i="2"/>
  <c r="H61" i="2" l="1"/>
  <c r="I61" i="2" s="1"/>
  <c r="C63" i="2"/>
  <c r="B62" i="2"/>
  <c r="F62" i="2" s="1"/>
  <c r="G62" i="2" s="1" a="1"/>
  <c r="D62" i="2"/>
  <c r="D36" i="2"/>
  <c r="C37" i="2"/>
  <c r="D51" i="2"/>
  <c r="B52" i="2"/>
  <c r="F51" i="2"/>
  <c r="G51" i="2" s="1" a="1"/>
  <c r="F35" i="2"/>
  <c r="G35" i="2" s="1" a="1"/>
  <c r="F36" i="2"/>
  <c r="G36" i="2" s="1" a="1"/>
  <c r="I11" i="2"/>
  <c r="C9" i="2"/>
  <c r="B9" i="2" s="1"/>
  <c r="I10" i="2"/>
  <c r="F5" i="2"/>
  <c r="G5" i="2" s="1"/>
  <c r="H5" i="2" s="1"/>
  <c r="F7" i="2"/>
  <c r="G7" i="2" s="1"/>
  <c r="F8" i="2"/>
  <c r="G8" i="2" s="1"/>
  <c r="F6" i="2"/>
  <c r="G6" i="2" s="1"/>
  <c r="F9" i="2"/>
  <c r="G9" i="2" s="1"/>
  <c r="H35" i="2" l="1"/>
  <c r="I35" i="2" s="1"/>
  <c r="H62" i="2"/>
  <c r="I62" i="2" s="1"/>
  <c r="C64" i="2"/>
  <c r="B63" i="2"/>
  <c r="F63" i="2" s="1"/>
  <c r="G63" i="2" s="1" a="1"/>
  <c r="D63" i="2"/>
  <c r="B37" i="2"/>
  <c r="F37" i="2" s="1"/>
  <c r="G37" i="2" s="1" a="1"/>
  <c r="D37" i="2"/>
  <c r="H51" i="2"/>
  <c r="I51" i="2" s="1"/>
  <c r="B53" i="2"/>
  <c r="F52" i="2"/>
  <c r="G52" i="2" s="1" a="1"/>
  <c r="D52" i="2"/>
  <c r="H36" i="2"/>
  <c r="I36" i="2" s="1"/>
  <c r="H9" i="2"/>
  <c r="H6" i="2"/>
  <c r="H8" i="2"/>
  <c r="H7" i="2"/>
  <c r="I12" i="2"/>
  <c r="H63" i="2" l="1"/>
  <c r="I63" i="2" s="1"/>
  <c r="B64" i="2"/>
  <c r="F64" i="2" s="1"/>
  <c r="G64" i="2" s="1" a="1"/>
  <c r="C65" i="2"/>
  <c r="D64" i="2"/>
  <c r="I38" i="2"/>
  <c r="H37" i="2"/>
  <c r="I37" i="2" s="1"/>
  <c r="H52" i="2"/>
  <c r="I52" i="2" s="1"/>
  <c r="D53" i="2"/>
  <c r="F53" i="2"/>
  <c r="G53" i="2" s="1" a="1"/>
  <c r="G11" i="2"/>
  <c r="G10" i="2"/>
  <c r="H53" i="2" l="1"/>
  <c r="I53" i="2" s="1"/>
  <c r="I54" i="2" s="1"/>
  <c r="I56" i="2" s="1"/>
  <c r="L33" i="2" a="1"/>
  <c r="H64" i="2"/>
  <c r="I64" i="2" s="1"/>
  <c r="B65" i="2"/>
  <c r="F65" i="2" s="1"/>
  <c r="G65" i="2" s="1" a="1"/>
  <c r="C66" i="2"/>
  <c r="B66" i="2" s="1"/>
  <c r="I39" i="2"/>
  <c r="I41" i="2" s="1"/>
  <c r="G12" i="2"/>
  <c r="M33" i="2" l="1"/>
  <c r="M41" i="2"/>
  <c r="M40" i="2"/>
  <c r="M39" i="2"/>
  <c r="M38" i="2"/>
  <c r="M37" i="2"/>
  <c r="M36" i="2"/>
  <c r="M35" i="2"/>
  <c r="M34" i="2"/>
  <c r="H65" i="2"/>
  <c r="I65" i="2" s="1"/>
  <c r="F66" i="2"/>
  <c r="G66" i="2" s="1" a="1"/>
  <c r="H66" i="2" s="1"/>
  <c r="I66" i="2" l="1"/>
  <c r="I67" i="2" s="1"/>
  <c r="I69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<sst xmlns="http://schemas.openxmlformats.org/spreadsheetml/2006/main" count="33" uniqueCount="9">
  <si>
    <t>Vt</t>
  </si>
  <si>
    <t>R1</t>
  </si>
  <si>
    <t>R2</t>
  </si>
  <si>
    <t>R3</t>
  </si>
  <si>
    <t>R4</t>
  </si>
  <si>
    <t>R5</t>
  </si>
  <si>
    <t>%</t>
  </si>
  <si>
    <t>R6</t>
  </si>
  <si>
    <t>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</si>
</sst>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* #,##0.00_-;\-&quot;$&quot;* #,##0.00_-;_-&quot;$&quot;* &quot;-&quot;??_-;_-@_-"/>
    <numFmt numFmtId="164" formatCode="0.00000000000000%"/>
    <numFmt numFmtId="165" formatCode="0.0000000"/>
    <numFmt numFmtId="166" formatCode="0.0%"/>
    <numFmt numFmtId="168" formatCode="0.0000%"/>
    <numFmt numFmtId="169" formatCode="#\K##0.00;\-#\K##0.00"/>
    <numFmt numFmtId="17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0" fontId="0" fillId="0" borderId="0" xfId="0" applyNumberFormat="1"/>
    <xf numFmtId="10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64" fontId="0" fillId="0" borderId="0" xfId="0" applyNumberFormat="1"/>
    <xf numFmtId="165" fontId="2" fillId="0" borderId="1" xfId="1" applyNumberFormat="1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10" fontId="2" fillId="0" borderId="3" xfId="0" applyNumberFormat="1" applyFont="1" applyBorder="1" applyAlignment="1">
      <alignment horizontal="center" wrapText="1"/>
    </xf>
    <xf numFmtId="10" fontId="2" fillId="0" borderId="0" xfId="0" applyNumberFormat="1" applyFont="1" applyAlignment="1">
      <alignment horizontal="center" wrapText="1"/>
    </xf>
    <xf numFmtId="9" fontId="0" fillId="0" borderId="0" xfId="0" applyNumberFormat="1"/>
    <xf numFmtId="0" fontId="0" fillId="2" borderId="0" xfId="0" applyFill="1"/>
    <xf numFmtId="166" fontId="0" fillId="0" borderId="0" xfId="1" applyNumberFormat="1" applyFont="1"/>
    <xf numFmtId="168" fontId="0" fillId="2" borderId="0" xfId="0" applyNumberFormat="1" applyFill="1"/>
    <xf numFmtId="168" fontId="3" fillId="2" borderId="0" xfId="0" applyNumberFormat="1" applyFont="1" applyFill="1"/>
    <xf numFmtId="169" fontId="0" fillId="0" borderId="0" xfId="2" applyNumberFormat="1" applyFont="1"/>
    <xf numFmtId="169" fontId="3" fillId="0" borderId="0" xfId="2" applyNumberFormat="1" applyFont="1"/>
    <xf numFmtId="10" fontId="0" fillId="0" borderId="0" xfId="1" applyNumberFormat="1" applyFont="1"/>
    <xf numFmtId="166" fontId="0" fillId="0" borderId="0" xfId="0" applyNumberFormat="1"/>
    <xf numFmtId="174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BB0A-A6A5-4798-A542-96CAB53B4FC3}">
  <dimension ref="A1:M69"/>
  <sheetViews>
    <sheetView tabSelected="1" topLeftCell="A30" zoomScale="140" zoomScaleNormal="140" workbookViewId="0">
      <selection activeCell="H30" sqref="H30"/>
    </sheetView>
  </sheetViews>
  <sheetFormatPr defaultRowHeight="15" x14ac:dyDescent="0.25"/>
  <cols>
    <col min="2" max="2" width="13.28515625" bestFit="1" customWidth="1"/>
    <col min="3" max="3" width="12.7109375" bestFit="1" customWidth="1"/>
    <col min="6" max="6" width="12.7109375" bestFit="1" customWidth="1"/>
    <col min="7" max="7" width="22.42578125" bestFit="1" customWidth="1"/>
    <col min="8" max="8" width="22.42578125" customWidth="1"/>
    <col min="9" max="9" width="24.5703125" customWidth="1"/>
  </cols>
  <sheetData>
    <row r="1" spans="1:13" ht="15.75" thickBot="1" x14ac:dyDescent="0.3">
      <c r="A1" s="1" t="s">
        <v>0</v>
      </c>
      <c r="B1" s="1"/>
      <c r="C1" s="1"/>
      <c r="D1" s="2"/>
      <c r="E1" s="1">
        <v>3.3</v>
      </c>
      <c r="F1" s="1">
        <v>1</v>
      </c>
      <c r="G1" s="2"/>
      <c r="H1" s="10"/>
    </row>
    <row r="2" spans="1:13" ht="15.75" thickBot="1" x14ac:dyDescent="0.3">
      <c r="A2" s="1" t="s">
        <v>1</v>
      </c>
      <c r="B2" s="1"/>
      <c r="C2" s="1"/>
      <c r="D2" s="2"/>
      <c r="E2" s="1">
        <v>1000</v>
      </c>
      <c r="F2" s="2"/>
      <c r="G2" s="2"/>
      <c r="H2" s="10"/>
    </row>
    <row r="3" spans="1:13" ht="15.75" thickBot="1" x14ac:dyDescent="0.3">
      <c r="A3" s="1" t="s">
        <v>2</v>
      </c>
      <c r="B3" s="1"/>
      <c r="C3" s="1"/>
      <c r="D3" s="1">
        <v>0</v>
      </c>
      <c r="E3" s="1">
        <v>0</v>
      </c>
      <c r="F3" s="1">
        <v>0</v>
      </c>
      <c r="G3" s="4">
        <v>0</v>
      </c>
      <c r="H3" s="11"/>
      <c r="I3" s="6">
        <v>0</v>
      </c>
      <c r="J3">
        <v>3</v>
      </c>
      <c r="K3" s="5">
        <v>470</v>
      </c>
      <c r="L3" cm="1">
        <f t="array" ref="L3:L27">_xlfn._xlws.SORT(K3:K27)</f>
        <v>100</v>
      </c>
    </row>
    <row r="4" spans="1:13" ht="15.75" thickBot="1" x14ac:dyDescent="0.3">
      <c r="A4" s="1" t="s">
        <v>2</v>
      </c>
      <c r="B4" s="9">
        <f>($E$1*$E$2)/C4-$E$2</f>
        <v>6000.0000000000009</v>
      </c>
      <c r="C4" s="9">
        <f>$E$1*I4</f>
        <v>0.47142857142857136</v>
      </c>
      <c r="D4" cm="1">
        <f t="array" ref="D4">INDEX($K$3:$K$27,J3)</f>
        <v>150</v>
      </c>
      <c r="E4">
        <f>SUM($D$3:D4)</f>
        <v>150</v>
      </c>
      <c r="F4" s="1">
        <f t="shared" ref="F4:F9" si="0">$E$1*E4/(E4+$E$2)</f>
        <v>0.43043478260869567</v>
      </c>
      <c r="G4" s="4">
        <f>F4/$E$1</f>
        <v>0.13043478260869568</v>
      </c>
      <c r="H4" s="12">
        <f>G4-G3</f>
        <v>0.13043478260869568</v>
      </c>
      <c r="I4">
        <f>1/7+I3</f>
        <v>0.14285714285714285</v>
      </c>
      <c r="J4">
        <v>6</v>
      </c>
      <c r="K4">
        <v>680</v>
      </c>
      <c r="L4">
        <v>150</v>
      </c>
      <c r="M4">
        <v>22</v>
      </c>
    </row>
    <row r="5" spans="1:13" ht="15.75" thickBot="1" x14ac:dyDescent="0.3">
      <c r="A5" s="1" t="s">
        <v>2</v>
      </c>
      <c r="B5" s="9">
        <f t="shared" ref="B5:B9" si="1">($E$1*$E$2)/C5-$E$2</f>
        <v>2500.0000000000005</v>
      </c>
      <c r="C5" s="9">
        <f t="shared" ref="C5:C9" si="2">$E$1*I5</f>
        <v>0.94285714285714273</v>
      </c>
      <c r="D5" cm="1">
        <f t="array" ref="D5">INDEX($K$3:$K$27,J4)</f>
        <v>200000</v>
      </c>
      <c r="E5">
        <f>SUM($D$3:D5)</f>
        <v>200150</v>
      </c>
      <c r="F5" s="1">
        <f t="shared" si="0"/>
        <v>3.2835943325876213</v>
      </c>
      <c r="G5" s="4">
        <f t="shared" ref="G5:G9" si="3">F5/$E$1</f>
        <v>0.99502858563261254</v>
      </c>
      <c r="H5" s="12">
        <f t="shared" ref="H5:H9" si="4">G5-G4</f>
        <v>0.86459380302391686</v>
      </c>
      <c r="I5">
        <f t="shared" ref="I5:I9" si="5">1/7+I4</f>
        <v>0.2857142857142857</v>
      </c>
      <c r="J5">
        <v>1</v>
      </c>
      <c r="K5">
        <v>150</v>
      </c>
      <c r="L5">
        <v>200</v>
      </c>
      <c r="M5">
        <v>10</v>
      </c>
    </row>
    <row r="6" spans="1:13" ht="15.75" thickBot="1" x14ac:dyDescent="0.3">
      <c r="A6" s="1" t="s">
        <v>2</v>
      </c>
      <c r="B6" s="9">
        <f t="shared" si="1"/>
        <v>1333.3333333333335</v>
      </c>
      <c r="C6" s="9">
        <f t="shared" si="2"/>
        <v>1.4142857142857141</v>
      </c>
      <c r="D6" cm="1">
        <f t="array" ref="D6">INDEX($K$3:$K$27,J5)</f>
        <v>470</v>
      </c>
      <c r="E6">
        <f>SUM($D$3:D6)</f>
        <v>200620</v>
      </c>
      <c r="F6" s="1">
        <f t="shared" si="0"/>
        <v>3.28363257613332</v>
      </c>
      <c r="G6" s="4">
        <f t="shared" si="3"/>
        <v>0.99504017458585459</v>
      </c>
      <c r="H6" s="12">
        <f t="shared" si="4"/>
        <v>1.1588953242047673E-5</v>
      </c>
      <c r="I6">
        <f t="shared" si="5"/>
        <v>0.42857142857142855</v>
      </c>
      <c r="J6">
        <v>2</v>
      </c>
      <c r="K6">
        <v>100</v>
      </c>
      <c r="L6">
        <v>220</v>
      </c>
      <c r="M6">
        <v>47</v>
      </c>
    </row>
    <row r="7" spans="1:13" ht="15.75" thickBot="1" x14ac:dyDescent="0.3">
      <c r="A7" s="1" t="s">
        <v>2</v>
      </c>
      <c r="B7" s="9">
        <f t="shared" si="1"/>
        <v>750.00000000000023</v>
      </c>
      <c r="C7" s="9">
        <f t="shared" si="2"/>
        <v>1.8857142857142855</v>
      </c>
      <c r="D7" cm="1">
        <f t="array" ref="D7">INDEX($K$3:$K$27,J6)</f>
        <v>680</v>
      </c>
      <c r="E7">
        <f>SUM($D$3:D7)</f>
        <v>201300</v>
      </c>
      <c r="F7" s="1">
        <f t="shared" si="0"/>
        <v>3.2836875926841325</v>
      </c>
      <c r="G7" s="4">
        <f t="shared" si="3"/>
        <v>0.99505684626791902</v>
      </c>
      <c r="H7" s="12">
        <f t="shared" si="4"/>
        <v>1.6671682064428595E-5</v>
      </c>
      <c r="I7">
        <f t="shared" si="5"/>
        <v>0.5714285714285714</v>
      </c>
      <c r="J7">
        <v>4</v>
      </c>
      <c r="K7">
        <v>100000</v>
      </c>
      <c r="L7">
        <v>270</v>
      </c>
    </row>
    <row r="8" spans="1:13" ht="15.75" thickBot="1" x14ac:dyDescent="0.3">
      <c r="A8" s="2"/>
      <c r="B8" s="9">
        <f t="shared" si="1"/>
        <v>400.00000000000023</v>
      </c>
      <c r="C8" s="9">
        <f t="shared" si="2"/>
        <v>2.3571428571428568</v>
      </c>
      <c r="D8" cm="1">
        <f t="array" ref="D8">INDEX($K$3:$K$27,J7)</f>
        <v>100</v>
      </c>
      <c r="E8">
        <f>SUM($D$3:D8)</f>
        <v>201400</v>
      </c>
      <c r="F8" s="1">
        <f t="shared" si="0"/>
        <v>3.2836956521739129</v>
      </c>
      <c r="G8" s="4">
        <f t="shared" si="3"/>
        <v>0.99505928853754944</v>
      </c>
      <c r="H8" s="12">
        <f t="shared" si="4"/>
        <v>2.4422696304204905E-6</v>
      </c>
      <c r="I8">
        <f t="shared" si="5"/>
        <v>0.71428571428571419</v>
      </c>
      <c r="J8">
        <v>5</v>
      </c>
      <c r="K8">
        <v>200000</v>
      </c>
      <c r="L8">
        <v>330</v>
      </c>
    </row>
    <row r="9" spans="1:13" ht="15.75" thickBot="1" x14ac:dyDescent="0.3">
      <c r="A9" s="2"/>
      <c r="B9" s="9">
        <f t="shared" si="1"/>
        <v>166.66666666666697</v>
      </c>
      <c r="C9" s="9">
        <f t="shared" si="2"/>
        <v>2.8285714285714278</v>
      </c>
      <c r="D9" cm="1">
        <f t="array" ref="D9">INDEX($K$3:$K$27,J8)</f>
        <v>100000</v>
      </c>
      <c r="E9">
        <f>SUM($D$3:D9)</f>
        <v>301400</v>
      </c>
      <c r="F9" s="1">
        <f t="shared" si="0"/>
        <v>3.2890873015873017</v>
      </c>
      <c r="G9" s="4">
        <f t="shared" si="3"/>
        <v>0.99669312169312174</v>
      </c>
      <c r="H9" s="12">
        <f t="shared" si="4"/>
        <v>1.6338331555723062E-3</v>
      </c>
      <c r="I9">
        <f t="shared" si="5"/>
        <v>0.85714285714285698</v>
      </c>
      <c r="J9">
        <v>5</v>
      </c>
      <c r="K9">
        <v>200</v>
      </c>
      <c r="L9">
        <v>470</v>
      </c>
    </row>
    <row r="10" spans="1:13" ht="15.75" thickBot="1" x14ac:dyDescent="0.3">
      <c r="A10" s="2"/>
      <c r="B10" s="10"/>
      <c r="C10" s="10"/>
      <c r="F10" s="2"/>
      <c r="G10" s="8">
        <f>_xlfn.STDEV.S(H4:H9)</f>
        <v>0.34611331962199926</v>
      </c>
      <c r="H10" s="8"/>
      <c r="I10" s="8">
        <f>ABS(_xlfn.STDEV.S(I3:I9))</f>
        <v>0.30860669992418394</v>
      </c>
      <c r="J10">
        <v>5</v>
      </c>
      <c r="K10">
        <v>6800</v>
      </c>
      <c r="L10">
        <v>560</v>
      </c>
    </row>
    <row r="11" spans="1:13" x14ac:dyDescent="0.25">
      <c r="G11">
        <f>+ABS(AVERAGE(H4:H9)-I4)</f>
        <v>2.3258377425044108E-2</v>
      </c>
      <c r="I11">
        <f>AVERAGE(I4:I9)</f>
        <v>0.49999999999999983</v>
      </c>
      <c r="J11">
        <v>5</v>
      </c>
      <c r="K11">
        <v>2000</v>
      </c>
      <c r="L11">
        <v>680</v>
      </c>
    </row>
    <row r="12" spans="1:13" x14ac:dyDescent="0.25">
      <c r="G12" s="7">
        <f>SUM(G10:G11)</f>
        <v>0.36937169704704337</v>
      </c>
      <c r="H12" s="7"/>
      <c r="I12" s="7">
        <f>SUM(I10:I11)</f>
        <v>0.80860669992418377</v>
      </c>
      <c r="J12">
        <v>5</v>
      </c>
      <c r="K12">
        <v>20000</v>
      </c>
      <c r="L12">
        <v>1000</v>
      </c>
    </row>
    <row r="13" spans="1:13" x14ac:dyDescent="0.25">
      <c r="D13">
        <v>200</v>
      </c>
      <c r="J13">
        <v>5</v>
      </c>
      <c r="K13">
        <v>470000</v>
      </c>
      <c r="L13">
        <v>2000</v>
      </c>
    </row>
    <row r="14" spans="1:13" x14ac:dyDescent="0.25">
      <c r="D14">
        <v>470</v>
      </c>
      <c r="J14">
        <v>5</v>
      </c>
      <c r="K14">
        <v>5100</v>
      </c>
      <c r="L14">
        <v>2200</v>
      </c>
    </row>
    <row r="15" spans="1:13" x14ac:dyDescent="0.25">
      <c r="D15">
        <v>680</v>
      </c>
      <c r="J15">
        <v>13</v>
      </c>
      <c r="K15">
        <v>220</v>
      </c>
      <c r="L15">
        <v>3300</v>
      </c>
    </row>
    <row r="16" spans="1:13" x14ac:dyDescent="0.25">
      <c r="D16">
        <v>1200</v>
      </c>
      <c r="J16">
        <v>14</v>
      </c>
      <c r="K16">
        <v>10000</v>
      </c>
      <c r="L16">
        <v>4700</v>
      </c>
    </row>
    <row r="17" spans="4:12" x14ac:dyDescent="0.25">
      <c r="D17">
        <v>2200</v>
      </c>
      <c r="J17">
        <v>15</v>
      </c>
      <c r="K17">
        <v>270</v>
      </c>
      <c r="L17">
        <v>5100</v>
      </c>
    </row>
    <row r="18" spans="4:12" x14ac:dyDescent="0.25">
      <c r="D18">
        <v>6800</v>
      </c>
      <c r="J18">
        <v>16</v>
      </c>
      <c r="K18">
        <v>1000</v>
      </c>
      <c r="L18">
        <v>6800</v>
      </c>
    </row>
    <row r="19" spans="4:12" x14ac:dyDescent="0.25">
      <c r="J19">
        <v>18</v>
      </c>
      <c r="K19">
        <v>4700</v>
      </c>
      <c r="L19">
        <v>10000</v>
      </c>
    </row>
    <row r="20" spans="4:12" x14ac:dyDescent="0.25">
      <c r="J20">
        <v>17</v>
      </c>
      <c r="K20">
        <v>3300</v>
      </c>
      <c r="L20">
        <v>20000</v>
      </c>
    </row>
    <row r="21" spans="4:12" x14ac:dyDescent="0.25">
      <c r="J21">
        <v>19</v>
      </c>
      <c r="K21">
        <v>1000000</v>
      </c>
      <c r="L21">
        <v>68000</v>
      </c>
    </row>
    <row r="22" spans="4:12" x14ac:dyDescent="0.25">
      <c r="J22">
        <v>20</v>
      </c>
      <c r="K22">
        <v>680000</v>
      </c>
      <c r="L22">
        <v>100000</v>
      </c>
    </row>
    <row r="23" spans="4:12" x14ac:dyDescent="0.25">
      <c r="J23">
        <v>21</v>
      </c>
      <c r="K23">
        <v>330</v>
      </c>
      <c r="L23">
        <v>200000</v>
      </c>
    </row>
    <row r="24" spans="4:12" x14ac:dyDescent="0.25">
      <c r="J24">
        <v>22</v>
      </c>
      <c r="K24">
        <v>2200</v>
      </c>
      <c r="L24">
        <v>300000</v>
      </c>
    </row>
    <row r="25" spans="4:12" x14ac:dyDescent="0.25">
      <c r="J25">
        <v>23</v>
      </c>
      <c r="K25">
        <v>68000</v>
      </c>
      <c r="L25">
        <v>470000</v>
      </c>
    </row>
    <row r="26" spans="4:12" x14ac:dyDescent="0.25">
      <c r="J26">
        <v>24</v>
      </c>
      <c r="K26">
        <v>300000</v>
      </c>
      <c r="L26">
        <v>680000</v>
      </c>
    </row>
    <row r="27" spans="4:12" x14ac:dyDescent="0.25">
      <c r="J27">
        <v>25</v>
      </c>
      <c r="K27">
        <v>560</v>
      </c>
      <c r="L27">
        <v>1000000</v>
      </c>
    </row>
    <row r="33" spans="1:13" x14ac:dyDescent="0.25">
      <c r="A33" s="14">
        <v>17</v>
      </c>
      <c r="C33" t="s">
        <v>6</v>
      </c>
      <c r="D33">
        <v>3.3</v>
      </c>
      <c r="G33" s="18"/>
      <c r="L33" cm="1">
        <f t="array" ref="L33:L42">_xlfn._xlws.SORT(_xlfn.UNIQUE(G32:G55))</f>
        <v>560</v>
      </c>
      <c r="M33">
        <f>COUNTIF($G$34:$G$54,L33)</f>
        <v>1</v>
      </c>
    </row>
    <row r="34" spans="1:13" x14ac:dyDescent="0.25">
      <c r="A34" t="s">
        <v>1</v>
      </c>
      <c r="B34" cm="1">
        <f t="array" ref="B34">INDEX($L$3:$L$26,A33)</f>
        <v>10000</v>
      </c>
      <c r="C34">
        <v>0</v>
      </c>
      <c r="D34">
        <f>C34*$D$33</f>
        <v>0</v>
      </c>
      <c r="F34">
        <f>B34</f>
        <v>10000</v>
      </c>
      <c r="G34" s="19" cm="1">
        <f t="array" ref="G34">INDEX($L$3:$L$26,MATCH(MIN(ABS($L$3:$L$26-F34)), ABS($L$3:$L$26-F34),0))</f>
        <v>10000</v>
      </c>
      <c r="L34">
        <v>1000</v>
      </c>
      <c r="M34">
        <f t="shared" ref="M34:M41" si="6">COUNTIF($G$34:$G$54,L34)</f>
        <v>1</v>
      </c>
    </row>
    <row r="35" spans="1:13" x14ac:dyDescent="0.25">
      <c r="A35" t="s">
        <v>2</v>
      </c>
      <c r="B35" s="22">
        <f>C35*$B$34/(1-C35)</f>
        <v>3333.3333333333335</v>
      </c>
      <c r="C35">
        <f>1/COUNTA(A34:A38)</f>
        <v>0.25</v>
      </c>
      <c r="D35">
        <f t="shared" ref="D35:D38" si="7">C35*$D$33</f>
        <v>0.82499999999999996</v>
      </c>
      <c r="F35">
        <f>B35</f>
        <v>3333.3333333333335</v>
      </c>
      <c r="G35" s="19" cm="1">
        <f t="array" ref="G35">INDEX($L$3:$L$26,MATCH(MIN(ABS($L$3:$L$26-F35)), ABS($L$3:$L$26-F35),0))</f>
        <v>3300</v>
      </c>
      <c r="H35" s="15">
        <f>SUM(G$35:G35)/SUM(G$34:G35)</f>
        <v>0.24812030075187969</v>
      </c>
      <c r="I35" s="3">
        <f>ABS(C35-H35)</f>
        <v>1.8796992481203145E-3</v>
      </c>
      <c r="L35">
        <v>2000</v>
      </c>
      <c r="M35">
        <f t="shared" si="6"/>
        <v>1</v>
      </c>
    </row>
    <row r="36" spans="1:13" x14ac:dyDescent="0.25">
      <c r="A36" t="s">
        <v>3</v>
      </c>
      <c r="B36">
        <f t="shared" ref="B36:B38" si="8">C36*$B$34/(1-C36)</f>
        <v>10000</v>
      </c>
      <c r="C36">
        <f>C35+$C$35</f>
        <v>0.5</v>
      </c>
      <c r="D36">
        <f t="shared" si="7"/>
        <v>1.65</v>
      </c>
      <c r="F36">
        <f>B36-B35</f>
        <v>6666.6666666666661</v>
      </c>
      <c r="G36" s="19" cm="1">
        <f t="array" ref="G36">INDEX($L$3:$L$26,MATCH(MIN(ABS($L$3:$L$26-F36)), ABS($L$3:$L$26-F36),0))</f>
        <v>6800</v>
      </c>
      <c r="H36" s="15">
        <f>SUM(G$35:G36)/SUM(G$34:G36)</f>
        <v>0.50248756218905477</v>
      </c>
      <c r="I36" s="3">
        <f t="shared" ref="I36:I38" si="9">ABS(C36-H36)</f>
        <v>2.4875621890547706E-3</v>
      </c>
      <c r="L36">
        <v>2200</v>
      </c>
      <c r="M36">
        <f t="shared" si="6"/>
        <v>1</v>
      </c>
    </row>
    <row r="37" spans="1:13" x14ac:dyDescent="0.25">
      <c r="A37" t="s">
        <v>4</v>
      </c>
      <c r="B37">
        <f t="shared" si="8"/>
        <v>30000</v>
      </c>
      <c r="C37">
        <f t="shared" ref="C37:C38" si="10">C36+$C$35</f>
        <v>0.75</v>
      </c>
      <c r="D37">
        <f t="shared" si="7"/>
        <v>2.4749999999999996</v>
      </c>
      <c r="F37">
        <f>B37-B36</f>
        <v>20000</v>
      </c>
      <c r="G37" s="19" cm="1">
        <f t="array" ref="G37">INDEX($L$3:$L$26,MATCH(MIN(ABS($L$3:$L$26-F37)), ABS($L$3:$L$26-F37),0))</f>
        <v>20000</v>
      </c>
      <c r="H37" s="15">
        <f>SUM(G$35:G37)/SUM(G$34:G37)</f>
        <v>0.75062344139650872</v>
      </c>
      <c r="I37" s="3">
        <f t="shared" si="9"/>
        <v>6.2344139650871711E-4</v>
      </c>
      <c r="L37">
        <v>3300</v>
      </c>
      <c r="M37">
        <f t="shared" si="6"/>
        <v>1</v>
      </c>
    </row>
    <row r="38" spans="1:13" x14ac:dyDescent="0.25">
      <c r="G38" s="18"/>
      <c r="H38" s="15"/>
      <c r="I38" s="3">
        <f t="shared" si="9"/>
        <v>0</v>
      </c>
      <c r="L38">
        <v>5100</v>
      </c>
      <c r="M38">
        <f t="shared" si="6"/>
        <v>1</v>
      </c>
    </row>
    <row r="39" spans="1:13" x14ac:dyDescent="0.25">
      <c r="I39" s="16">
        <f>SUM(I35:I38)</f>
        <v>4.9907028336838022E-3</v>
      </c>
      <c r="L39">
        <v>6800</v>
      </c>
      <c r="M39">
        <f t="shared" si="6"/>
        <v>1</v>
      </c>
    </row>
    <row r="40" spans="1:13" x14ac:dyDescent="0.25">
      <c r="I40" s="17">
        <v>4.9907028336838022E-3</v>
      </c>
      <c r="L40">
        <v>10000</v>
      </c>
      <c r="M40">
        <f t="shared" si="6"/>
        <v>1</v>
      </c>
    </row>
    <row r="41" spans="1:13" x14ac:dyDescent="0.25">
      <c r="I41" t="str">
        <f>IF(I39&lt;=I40,"WIN","")</f>
        <v>WIN</v>
      </c>
      <c r="L41">
        <v>20000</v>
      </c>
      <c r="M41">
        <f t="shared" si="6"/>
        <v>1</v>
      </c>
    </row>
    <row r="42" spans="1:13" x14ac:dyDescent="0.25">
      <c r="L42">
        <v>0</v>
      </c>
    </row>
    <row r="48" spans="1:13" x14ac:dyDescent="0.25">
      <c r="A48" s="14">
        <v>12</v>
      </c>
      <c r="C48" t="s">
        <v>6</v>
      </c>
      <c r="D48">
        <v>3.3</v>
      </c>
      <c r="G48" s="19"/>
    </row>
    <row r="49" spans="1:9" x14ac:dyDescent="0.25">
      <c r="A49" t="s">
        <v>1</v>
      </c>
      <c r="B49" cm="1">
        <f t="array" ref="B49">INDEX($L$3:$L$26,A48)</f>
        <v>2200</v>
      </c>
      <c r="C49">
        <v>0</v>
      </c>
      <c r="D49">
        <f>C49*$D$33</f>
        <v>0</v>
      </c>
      <c r="F49">
        <f>B49</f>
        <v>2200</v>
      </c>
      <c r="G49" s="19" cm="1">
        <f t="array" ref="G49">INDEX($L$3:$L$26,MATCH(MIN(ABS($L$3:$L$26-F49)), ABS($L$3:$L$26-F49),0))</f>
        <v>2200</v>
      </c>
    </row>
    <row r="50" spans="1:9" x14ac:dyDescent="0.25">
      <c r="A50" t="s">
        <v>2</v>
      </c>
      <c r="B50">
        <f>C50*$B$49/(1-C50)</f>
        <v>550</v>
      </c>
      <c r="C50">
        <f>1/COUNTA(A49:A53)</f>
        <v>0.2</v>
      </c>
      <c r="D50">
        <f t="shared" ref="D50:D53" si="11">C50*$D$33</f>
        <v>0.66</v>
      </c>
      <c r="F50">
        <f>B50</f>
        <v>550</v>
      </c>
      <c r="G50" s="19" cm="1">
        <f t="array" ref="G50">INDEX($L$3:$L$26,MATCH(MIN(ABS($L$3:$L$26-F50)), ABS($L$3:$L$26-F50),0))</f>
        <v>560</v>
      </c>
      <c r="H50" s="15">
        <f>SUM(G$50:G50)/SUM(G$49:G50)</f>
        <v>0.20289855072463769</v>
      </c>
      <c r="I50" s="21">
        <f>ABS(C50-H50)</f>
        <v>2.8985507246376829E-3</v>
      </c>
    </row>
    <row r="51" spans="1:9" x14ac:dyDescent="0.25">
      <c r="A51" t="s">
        <v>3</v>
      </c>
      <c r="B51" s="22">
        <f t="shared" ref="B51:B53" si="12">C51*$B$49/(1-C51)</f>
        <v>1466.6666666666667</v>
      </c>
      <c r="C51">
        <f>C50+$C$50</f>
        <v>0.4</v>
      </c>
      <c r="D51">
        <f t="shared" si="11"/>
        <v>1.32</v>
      </c>
      <c r="F51">
        <f>B51-B50</f>
        <v>916.66666666666674</v>
      </c>
      <c r="G51" s="19" cm="1">
        <f t="array" ref="G51">INDEX($L$3:$L$26,MATCH(MIN(ABS($L$3:$L$26-F51)), ABS($L$3:$L$26-F51),0))</f>
        <v>1000</v>
      </c>
      <c r="H51" s="15">
        <f>SUM(G$50:G51)/SUM(G$49:G51)</f>
        <v>0.41489361702127658</v>
      </c>
      <c r="I51" s="21">
        <f t="shared" ref="I51:I53" si="13">ABS(C51-H51)</f>
        <v>1.4893617021276562E-2</v>
      </c>
    </row>
    <row r="52" spans="1:9" x14ac:dyDescent="0.25">
      <c r="A52" t="s">
        <v>4</v>
      </c>
      <c r="B52">
        <f t="shared" si="12"/>
        <v>3300.0000000000014</v>
      </c>
      <c r="C52">
        <f t="shared" ref="C52:C53" si="14">C51+$C$50</f>
        <v>0.60000000000000009</v>
      </c>
      <c r="D52">
        <f t="shared" si="11"/>
        <v>1.9800000000000002</v>
      </c>
      <c r="F52">
        <f>B52-B51</f>
        <v>1833.3333333333346</v>
      </c>
      <c r="G52" s="19" cm="1">
        <f t="array" ref="G52">INDEX($L$3:$L$26,MATCH(MIN(ABS($L$3:$L$26-F52)), ABS($L$3:$L$26-F52),0))</f>
        <v>2000</v>
      </c>
      <c r="H52" s="15">
        <f>SUM(G$50:G52)/SUM(G$49:G52)</f>
        <v>0.61805555555555558</v>
      </c>
      <c r="I52" s="21">
        <f t="shared" si="13"/>
        <v>1.8055555555555491E-2</v>
      </c>
    </row>
    <row r="53" spans="1:9" x14ac:dyDescent="0.25">
      <c r="A53" t="s">
        <v>5</v>
      </c>
      <c r="B53">
        <f t="shared" si="12"/>
        <v>8800.0000000000018</v>
      </c>
      <c r="C53">
        <f t="shared" si="14"/>
        <v>0.8</v>
      </c>
      <c r="D53">
        <f t="shared" si="11"/>
        <v>2.64</v>
      </c>
      <c r="F53">
        <f>B53-B52</f>
        <v>5500</v>
      </c>
      <c r="G53" s="19" cm="1">
        <f t="array" ref="G53">INDEX($L$3:$L$26,MATCH(MIN(ABS($L$3:$L$26-F53)), ABS($L$3:$L$26-F53),0))</f>
        <v>5100</v>
      </c>
      <c r="H53" s="15">
        <f>SUM(G$50:G53)/SUM(G$49:G53)</f>
        <v>0.79742173112338854</v>
      </c>
      <c r="I53" s="21">
        <f t="shared" si="13"/>
        <v>2.5782688766115003E-3</v>
      </c>
    </row>
    <row r="54" spans="1:9" x14ac:dyDescent="0.25">
      <c r="G54" s="19"/>
      <c r="I54" s="16">
        <f>SUM(I50:I53)</f>
        <v>3.8425992178081236E-2</v>
      </c>
    </row>
    <row r="55" spans="1:9" x14ac:dyDescent="0.25">
      <c r="C55">
        <v>0.03</v>
      </c>
      <c r="G55" s="19"/>
      <c r="I55" s="17">
        <v>3.7999999999999999E-2</v>
      </c>
    </row>
    <row r="56" spans="1:9" x14ac:dyDescent="0.25">
      <c r="G56" s="19"/>
      <c r="I56" t="str">
        <f>IF(I54&lt;=I55,"WIN","")</f>
        <v/>
      </c>
    </row>
    <row r="59" spans="1:9" x14ac:dyDescent="0.25">
      <c r="A59" s="14">
        <v>11</v>
      </c>
      <c r="C59" t="s">
        <v>6</v>
      </c>
      <c r="D59">
        <v>3.3</v>
      </c>
      <c r="G59" s="19"/>
    </row>
    <row r="60" spans="1:9" x14ac:dyDescent="0.25">
      <c r="A60" t="s">
        <v>1</v>
      </c>
      <c r="B60" cm="1">
        <f t="array" ref="B60">INDEX($L$3:$L$26,A59)</f>
        <v>2000</v>
      </c>
      <c r="C60" s="20">
        <v>0</v>
      </c>
      <c r="D60">
        <f>C60*$D$33</f>
        <v>0</v>
      </c>
      <c r="F60">
        <f>B60</f>
        <v>2000</v>
      </c>
      <c r="G60" s="19" cm="1">
        <f t="array" ref="G60">INDEX($L$3:$L$26,MATCH(MIN(ABS($L$3:$L$26-F60)), ABS($L$3:$L$26-F60),0))</f>
        <v>2000</v>
      </c>
    </row>
    <row r="61" spans="1:9" x14ac:dyDescent="0.25">
      <c r="A61" t="s">
        <v>2</v>
      </c>
      <c r="B61" s="22">
        <f>C61*$B$60/(1-C61)</f>
        <v>333.33333333333331</v>
      </c>
      <c r="C61" s="20">
        <f>1/COUNTA(A60:A68)</f>
        <v>0.14285714285714285</v>
      </c>
      <c r="D61">
        <f t="shared" ref="D61:D66" si="15">C61*$D$33</f>
        <v>0.47142857142857136</v>
      </c>
      <c r="F61">
        <f>B61</f>
        <v>333.33333333333331</v>
      </c>
      <c r="G61" s="19" cm="1">
        <f t="array" ref="G61">INDEX($L$3:$L$26,MATCH(MIN(ABS($L$3:$L$26-F61)), ABS($L$3:$L$26-F61),0))</f>
        <v>330</v>
      </c>
      <c r="H61" s="15">
        <f>SUM(G$61:G61)/SUM(G$60:G61)</f>
        <v>0.14163090128755365</v>
      </c>
      <c r="I61" s="13">
        <f>ABS(C61-H61)</f>
        <v>1.2262415695891982E-3</v>
      </c>
    </row>
    <row r="62" spans="1:9" x14ac:dyDescent="0.25">
      <c r="A62" t="s">
        <v>3</v>
      </c>
      <c r="B62">
        <f t="shared" ref="B62:B66" si="16">C62*$B$60/(1-C62)</f>
        <v>800</v>
      </c>
      <c r="C62" s="20">
        <f>C61+$C$61</f>
        <v>0.2857142857142857</v>
      </c>
      <c r="D62">
        <f t="shared" si="15"/>
        <v>0.94285714285714273</v>
      </c>
      <c r="F62">
        <f>B62-B61</f>
        <v>466.66666666666669</v>
      </c>
      <c r="G62" s="19" cm="1">
        <f t="array" ref="G62">INDEX($L$3:$L$26,MATCH(MIN(ABS($L$3:$L$26-F62)), ABS($L$3:$L$26-F62),0))</f>
        <v>470</v>
      </c>
      <c r="H62" s="15">
        <f>SUM(G$61:G62)/SUM(G$60:G62)</f>
        <v>0.2857142857142857</v>
      </c>
      <c r="I62" s="13">
        <f t="shared" ref="I62:I64" si="17">ABS(C62-H62)</f>
        <v>0</v>
      </c>
    </row>
    <row r="63" spans="1:9" x14ac:dyDescent="0.25">
      <c r="A63" t="s">
        <v>4</v>
      </c>
      <c r="B63">
        <f t="shared" si="16"/>
        <v>1500</v>
      </c>
      <c r="C63" s="20">
        <f t="shared" ref="C63:C66" si="18">C62+$C$61</f>
        <v>0.42857142857142855</v>
      </c>
      <c r="D63">
        <f t="shared" si="15"/>
        <v>1.4142857142857141</v>
      </c>
      <c r="F63">
        <f>B63-B62</f>
        <v>700</v>
      </c>
      <c r="G63" s="19" cm="1">
        <f t="array" ref="G63">INDEX($L$3:$L$26,MATCH(MIN(ABS($L$3:$L$26-F63)), ABS($L$3:$L$26-F63),0))</f>
        <v>680</v>
      </c>
      <c r="H63" s="15">
        <f>SUM(G$61:G63)/SUM(G$60:G63)</f>
        <v>0.42528735632183906</v>
      </c>
      <c r="I63" s="13">
        <f t="shared" si="17"/>
        <v>3.284072249589487E-3</v>
      </c>
    </row>
    <row r="64" spans="1:9" x14ac:dyDescent="0.25">
      <c r="A64" t="s">
        <v>5</v>
      </c>
      <c r="B64" s="22">
        <f t="shared" si="16"/>
        <v>2666.6666666666665</v>
      </c>
      <c r="C64" s="20">
        <f t="shared" si="18"/>
        <v>0.5714285714285714</v>
      </c>
      <c r="D64">
        <f t="shared" si="15"/>
        <v>1.8857142857142855</v>
      </c>
      <c r="F64">
        <f t="shared" ref="F64:F66" si="19">B64-B63</f>
        <v>1166.6666666666665</v>
      </c>
      <c r="G64" s="19" cm="1">
        <f t="array" ref="G64">INDEX($L$3:$L$26,MATCH(MIN(ABS($L$3:$L$26-F64)), ABS($L$3:$L$26-F64),0))</f>
        <v>1000</v>
      </c>
      <c r="H64" s="15">
        <f>SUM(G$61:G64)/SUM(G$60:G64)</f>
        <v>0.5535714285714286</v>
      </c>
      <c r="I64" s="13">
        <f t="shared" ref="I64:I66" si="20">ABS(C64-H64)</f>
        <v>1.7857142857142794E-2</v>
      </c>
    </row>
    <row r="65" spans="1:9" x14ac:dyDescent="0.25">
      <c r="A65" t="s">
        <v>7</v>
      </c>
      <c r="B65">
        <f t="shared" si="16"/>
        <v>4999.9999999999982</v>
      </c>
      <c r="C65" s="20">
        <f t="shared" si="18"/>
        <v>0.71428571428571419</v>
      </c>
      <c r="D65">
        <f t="shared" si="15"/>
        <v>2.3571428571428568</v>
      </c>
      <c r="F65">
        <f t="shared" si="19"/>
        <v>2333.3333333333317</v>
      </c>
      <c r="G65" s="19" cm="1">
        <f t="array" ref="G65">INDEX($L$3:$L$26,MATCH(MIN(ABS($L$3:$L$26-F65)), ABS($L$3:$L$26-F65),0))</f>
        <v>2200</v>
      </c>
      <c r="H65" s="15">
        <f>SUM(G$61:G65)/SUM(G$60:G65)</f>
        <v>0.70059880239520955</v>
      </c>
      <c r="I65" s="13">
        <f t="shared" si="20"/>
        <v>1.3686911890504638E-2</v>
      </c>
    </row>
    <row r="66" spans="1:9" x14ac:dyDescent="0.25">
      <c r="A66" t="s">
        <v>8</v>
      </c>
      <c r="B66">
        <f t="shared" si="16"/>
        <v>11999.999999999985</v>
      </c>
      <c r="C66" s="20">
        <f t="shared" si="18"/>
        <v>0.85714285714285698</v>
      </c>
      <c r="D66">
        <f t="shared" si="15"/>
        <v>2.8285714285714278</v>
      </c>
      <c r="F66">
        <f t="shared" si="19"/>
        <v>6999.9999999999873</v>
      </c>
      <c r="G66" s="19" cm="1">
        <f t="array" ref="G66">INDEX($L$3:$L$26,MATCH(MIN(ABS($L$3:$L$26-F66)), ABS($L$3:$L$26-F66),0))</f>
        <v>6800</v>
      </c>
      <c r="H66" s="15">
        <f>SUM(G$61:G66)/SUM(G$60:G66)</f>
        <v>0.85163204747774479</v>
      </c>
      <c r="I66" s="13">
        <f t="shared" si="20"/>
        <v>5.5108096651121929E-3</v>
      </c>
    </row>
    <row r="67" spans="1:9" x14ac:dyDescent="0.25">
      <c r="G67" s="19"/>
      <c r="I67" s="16">
        <f>SUM(I61:I66)</f>
        <v>4.156517823193831E-2</v>
      </c>
    </row>
    <row r="68" spans="1:9" x14ac:dyDescent="0.25">
      <c r="I68" s="17">
        <v>4.156517823193831E-2</v>
      </c>
    </row>
    <row r="69" spans="1:9" x14ac:dyDescent="0.25">
      <c r="I69" t="str">
        <f>IF(I67&lt;=I68,"WIN","")</f>
        <v>WIN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08C5-7FD3-4D6B-9127-62D4F00C9027}">
  <dimension ref="A1:J27"/>
  <sheetViews>
    <sheetView zoomScale="140" zoomScaleNormal="140" workbookViewId="0">
      <selection activeCell="D1" sqref="D1"/>
    </sheetView>
  </sheetViews>
  <sheetFormatPr defaultRowHeight="15" x14ac:dyDescent="0.25"/>
  <cols>
    <col min="4" max="4" width="12.7109375" bestFit="1" customWidth="1"/>
  </cols>
  <sheetData>
    <row r="1" spans="1:10" ht="15.75" thickBot="1" x14ac:dyDescent="0.3">
      <c r="A1" s="1" t="s">
        <v>0</v>
      </c>
      <c r="B1" s="2"/>
      <c r="C1" s="1">
        <v>3.3</v>
      </c>
      <c r="D1" s="1">
        <v>1</v>
      </c>
      <c r="E1" s="2"/>
    </row>
    <row r="2" spans="1:10" ht="15.75" thickBot="1" x14ac:dyDescent="0.3">
      <c r="A2" s="1" t="s">
        <v>1</v>
      </c>
      <c r="B2" s="2"/>
      <c r="C2" s="1">
        <v>2000</v>
      </c>
      <c r="D2" s="2"/>
      <c r="E2" s="2"/>
    </row>
    <row r="3" spans="1:10" ht="15.75" thickBot="1" x14ac:dyDescent="0.3">
      <c r="A3" s="1" t="s">
        <v>2</v>
      </c>
      <c r="B3" s="1">
        <v>0</v>
      </c>
      <c r="C3" s="1">
        <v>0</v>
      </c>
      <c r="D3" s="1">
        <v>0</v>
      </c>
      <c r="E3" s="4">
        <v>0</v>
      </c>
      <c r="F3" s="3">
        <f t="shared" ref="F3:F9" si="0">E3-E2</f>
        <v>0</v>
      </c>
      <c r="G3" s="5">
        <v>470</v>
      </c>
    </row>
    <row r="4" spans="1:10" ht="15.75" thickBot="1" x14ac:dyDescent="0.3">
      <c r="A4" s="1" t="s">
        <v>2</v>
      </c>
      <c r="B4">
        <v>200</v>
      </c>
      <c r="C4" s="1">
        <f>SUM($B$3:B4)</f>
        <v>200</v>
      </c>
      <c r="D4" s="1">
        <f>$C$1*C4/(C4+$C$2)</f>
        <v>0.3</v>
      </c>
      <c r="E4" s="4">
        <f>D4/$C$1</f>
        <v>9.0909090909090912E-2</v>
      </c>
      <c r="F4" s="3">
        <f t="shared" si="0"/>
        <v>9.0909090909090912E-2</v>
      </c>
      <c r="G4">
        <v>680</v>
      </c>
      <c r="J4">
        <v>22</v>
      </c>
    </row>
    <row r="5" spans="1:10" ht="15.75" thickBot="1" x14ac:dyDescent="0.3">
      <c r="A5" s="1" t="s">
        <v>2</v>
      </c>
      <c r="B5">
        <v>470</v>
      </c>
      <c r="C5" s="1">
        <f>SUM($B$3:B5)</f>
        <v>670</v>
      </c>
      <c r="D5" s="1">
        <f t="shared" ref="D5:D9" si="1">$C$1*C5/(C5+$C$2)</f>
        <v>0.82808988764044944</v>
      </c>
      <c r="E5" s="4">
        <f t="shared" ref="E5:E9" si="2">D5/$C$1</f>
        <v>0.25093632958801498</v>
      </c>
      <c r="F5" s="3">
        <f>E5-E4</f>
        <v>0.16002723867892407</v>
      </c>
      <c r="G5">
        <v>150</v>
      </c>
      <c r="J5">
        <v>10</v>
      </c>
    </row>
    <row r="6" spans="1:10" ht="15.75" thickBot="1" x14ac:dyDescent="0.3">
      <c r="A6" s="1" t="s">
        <v>2</v>
      </c>
      <c r="B6">
        <v>680</v>
      </c>
      <c r="C6" s="1">
        <f>SUM($B$3:B6)</f>
        <v>1350</v>
      </c>
      <c r="D6" s="1">
        <f t="shared" si="1"/>
        <v>1.3298507462686566</v>
      </c>
      <c r="E6" s="4">
        <f t="shared" si="2"/>
        <v>0.40298507462686567</v>
      </c>
      <c r="F6" s="3">
        <f t="shared" si="0"/>
        <v>0.15204874503885069</v>
      </c>
      <c r="G6">
        <v>100</v>
      </c>
      <c r="J6">
        <v>47</v>
      </c>
    </row>
    <row r="7" spans="1:10" ht="15.75" thickBot="1" x14ac:dyDescent="0.3">
      <c r="A7" s="1" t="s">
        <v>2</v>
      </c>
      <c r="B7">
        <v>1200</v>
      </c>
      <c r="C7" s="1">
        <f>SUM($B$3:B7)</f>
        <v>2550</v>
      </c>
      <c r="D7" s="1">
        <f t="shared" si="1"/>
        <v>1.8494505494505495</v>
      </c>
      <c r="E7" s="4">
        <f t="shared" si="2"/>
        <v>0.56043956043956045</v>
      </c>
      <c r="F7" s="3">
        <f t="shared" si="0"/>
        <v>0.15745448581269478</v>
      </c>
      <c r="G7">
        <v>100000</v>
      </c>
    </row>
    <row r="8" spans="1:10" ht="15.75" thickBot="1" x14ac:dyDescent="0.3">
      <c r="A8" s="2"/>
      <c r="B8">
        <v>2200</v>
      </c>
      <c r="C8" s="1">
        <f>SUM($B$3:B8)</f>
        <v>4750</v>
      </c>
      <c r="D8" s="1">
        <f t="shared" si="1"/>
        <v>2.3222222222222224</v>
      </c>
      <c r="E8" s="4">
        <f t="shared" si="2"/>
        <v>0.70370370370370383</v>
      </c>
      <c r="F8" s="3">
        <f t="shared" si="0"/>
        <v>0.14326414326414338</v>
      </c>
      <c r="G8">
        <v>200000</v>
      </c>
    </row>
    <row r="9" spans="1:10" ht="15.75" thickBot="1" x14ac:dyDescent="0.3">
      <c r="A9" s="2"/>
      <c r="B9">
        <v>6800</v>
      </c>
      <c r="C9" s="1">
        <f>SUM($B$3:B9)</f>
        <v>11550</v>
      </c>
      <c r="D9" s="1">
        <f t="shared" si="1"/>
        <v>2.8129151291512917</v>
      </c>
      <c r="E9" s="4">
        <f t="shared" si="2"/>
        <v>0.85239852398523996</v>
      </c>
      <c r="F9" s="3">
        <f t="shared" si="0"/>
        <v>0.14869482028153613</v>
      </c>
      <c r="G9">
        <v>200</v>
      </c>
    </row>
    <row r="10" spans="1:10" ht="15.75" thickBot="1" x14ac:dyDescent="0.3">
      <c r="A10" s="2"/>
      <c r="B10" s="2"/>
      <c r="C10" s="2"/>
      <c r="D10" s="2"/>
      <c r="E10" s="2"/>
      <c r="G10">
        <v>6800</v>
      </c>
    </row>
    <row r="11" spans="1:10" x14ac:dyDescent="0.25">
      <c r="G11">
        <v>2000</v>
      </c>
    </row>
    <row r="12" spans="1:10" x14ac:dyDescent="0.25">
      <c r="G12">
        <v>20000</v>
      </c>
    </row>
    <row r="13" spans="1:10" x14ac:dyDescent="0.25">
      <c r="G13">
        <v>470000</v>
      </c>
    </row>
    <row r="14" spans="1:10" x14ac:dyDescent="0.25">
      <c r="G14">
        <v>5100</v>
      </c>
    </row>
    <row r="15" spans="1:10" x14ac:dyDescent="0.25">
      <c r="G15">
        <v>220</v>
      </c>
    </row>
    <row r="16" spans="1:10" x14ac:dyDescent="0.25">
      <c r="G16">
        <v>10000</v>
      </c>
    </row>
    <row r="17" spans="7:7" x14ac:dyDescent="0.25">
      <c r="G17">
        <v>270</v>
      </c>
    </row>
    <row r="18" spans="7:7" x14ac:dyDescent="0.25">
      <c r="G18">
        <v>1000</v>
      </c>
    </row>
    <row r="19" spans="7:7" x14ac:dyDescent="0.25">
      <c r="G19">
        <v>4700</v>
      </c>
    </row>
    <row r="20" spans="7:7" x14ac:dyDescent="0.25">
      <c r="G20">
        <v>3300</v>
      </c>
    </row>
    <row r="21" spans="7:7" x14ac:dyDescent="0.25">
      <c r="G21">
        <v>1000000</v>
      </c>
    </row>
    <row r="22" spans="7:7" x14ac:dyDescent="0.25">
      <c r="G22">
        <v>680000</v>
      </c>
    </row>
    <row r="23" spans="7:7" x14ac:dyDescent="0.25">
      <c r="G23">
        <v>330</v>
      </c>
    </row>
    <row r="24" spans="7:7" x14ac:dyDescent="0.25">
      <c r="G24">
        <v>2200</v>
      </c>
    </row>
    <row r="25" spans="7:7" x14ac:dyDescent="0.25">
      <c r="G25">
        <v>68000</v>
      </c>
    </row>
    <row r="26" spans="7:7" x14ac:dyDescent="0.25">
      <c r="G26">
        <v>300000</v>
      </c>
    </row>
    <row r="27" spans="7:7" x14ac:dyDescent="0.25">
      <c r="G27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Giovany Osorio Gutierrez</dc:creator>
  <cp:lastModifiedBy>Fredy Giovany Osorio Gutierrez</cp:lastModifiedBy>
  <dcterms:created xsi:type="dcterms:W3CDTF">2026-04-18T13:28:53Z</dcterms:created>
  <dcterms:modified xsi:type="dcterms:W3CDTF">2026-09-02T23:53:44Z</dcterms:modified>
</cp:coreProperties>
</file>