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em2025\pizzaController\"/>
    </mc:Choice>
  </mc:AlternateContent>
  <xr:revisionPtr revIDLastSave="0" documentId="8_{51835346-316F-4E23-83C8-5EC403D9B1CC}" xr6:coauthVersionLast="47" xr6:coauthVersionMax="47" xr10:uidLastSave="{00000000-0000-0000-0000-000000000000}"/>
  <bookViews>
    <workbookView xWindow="-120" yWindow="-120" windowWidth="29040" windowHeight="15720" activeTab="1" xr2:uid="{DB237D7F-AB2E-4F35-B9A6-125F53A52A12}"/>
  </bookViews>
  <sheets>
    <sheet name="Sheet1 (2)" sheetId="2" r:id="rId1"/>
    <sheet name="Sheet1" sheetId="1" r:id="rId2"/>
  </sheets>
  <definedNames>
    <definedName name="solver_adj" localSheetId="0" hidden="1">'Sheet1 (2)'!$J$3:$J$27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'Sheet1 (2)'!$J$3:$J$27</definedName>
    <definedName name="solver_lhs2" localSheetId="0" hidden="1">'Sheet1 (2)'!$J$3:$J$27</definedName>
    <definedName name="solver_lhs3" localSheetId="0" hidden="1">'Sheet1 (2)'!$J$3:$J$27</definedName>
    <definedName name="solver_lhs4" localSheetId="0" hidden="1">'Sheet1 (2)'!$J$3:$J$27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'Sheet1 (2)'!$G$12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6</definedName>
    <definedName name="solver_rel3" localSheetId="0" hidden="1">4</definedName>
    <definedName name="solver_rel4" localSheetId="0" hidden="1">3</definedName>
    <definedName name="solver_rhs1" localSheetId="0" hidden="1">25</definedName>
    <definedName name="solver_rhs2" localSheetId="0" hidden="1">"AllDifferent"</definedName>
    <definedName name="solver_rhs3" localSheetId="0" hidden="1">"integer"</definedName>
    <definedName name="solver_rhs4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D4" i="2" a="1"/>
  <c r="D4" i="2" s="1"/>
  <c r="E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L3" i="2" a="1"/>
  <c r="L3" i="2" s="1"/>
  <c r="C4" i="2"/>
  <c r="B4" i="2" s="1"/>
  <c r="I4" i="2"/>
  <c r="I5" i="2" s="1"/>
  <c r="I6" i="2" s="1"/>
  <c r="I7" i="2" s="1"/>
  <c r="I8" i="2" s="1"/>
  <c r="C8" i="2" s="1"/>
  <c r="B8" i="2" s="1"/>
  <c r="C5" i="1"/>
  <c r="D5" i="1" s="1"/>
  <c r="E5" i="1" s="1"/>
  <c r="C6" i="1"/>
  <c r="D6" i="1" s="1"/>
  <c r="E6" i="1" s="1"/>
  <c r="F6" i="1" s="1"/>
  <c r="C7" i="1"/>
  <c r="D7" i="1" s="1"/>
  <c r="E7" i="1" s="1"/>
  <c r="C8" i="1"/>
  <c r="D8" i="1" s="1"/>
  <c r="E8" i="1" s="1"/>
  <c r="C9" i="1"/>
  <c r="D9" i="1" s="1"/>
  <c r="E9" i="1" s="1"/>
  <c r="C4" i="1"/>
  <c r="D4" i="1" s="1"/>
  <c r="E4" i="1" s="1"/>
  <c r="F4" i="1" s="1"/>
  <c r="F8" i="1" l="1"/>
  <c r="F9" i="1"/>
  <c r="F7" i="1"/>
  <c r="F5" i="1"/>
  <c r="C7" i="2"/>
  <c r="B7" i="2" s="1"/>
  <c r="C6" i="2"/>
  <c r="B6" i="2" s="1"/>
  <c r="C5" i="2"/>
  <c r="B5" i="2" s="1"/>
  <c r="I9" i="2"/>
  <c r="F4" i="2"/>
  <c r="G4" i="2" s="1"/>
  <c r="H4" i="2" s="1"/>
  <c r="E9" i="2"/>
  <c r="E7" i="2"/>
  <c r="E6" i="2"/>
  <c r="E5" i="2"/>
  <c r="E8" i="2"/>
  <c r="I11" i="2" l="1"/>
  <c r="C9" i="2"/>
  <c r="B9" i="2" s="1"/>
  <c r="I10" i="2"/>
  <c r="F5" i="2"/>
  <c r="G5" i="2" s="1"/>
  <c r="H5" i="2" s="1"/>
  <c r="F7" i="2"/>
  <c r="G7" i="2" s="1"/>
  <c r="F8" i="2"/>
  <c r="G8" i="2" s="1"/>
  <c r="F6" i="2"/>
  <c r="G6" i="2" s="1"/>
  <c r="F9" i="2"/>
  <c r="G9" i="2" s="1"/>
  <c r="H9" i="2" l="1"/>
  <c r="H6" i="2"/>
  <c r="H8" i="2"/>
  <c r="H7" i="2"/>
  <c r="I12" i="2"/>
  <c r="G11" i="2" l="1"/>
  <c r="G10" i="2"/>
  <c r="G1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<sst xmlns="http://schemas.openxmlformats.org/spreadsheetml/2006/main" count="14" uniqueCount="3">
  <si>
    <t>Vt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</si>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</sst>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%"/>
    <numFmt numFmtId="174" formatCode="0.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0" fontId="0" fillId="0" borderId="0" xfId="0" applyNumberFormat="1"/>
    <xf numFmtId="10" fontId="2" fillId="0" borderId="1" xfId="0" applyNumberFormat="1" applyFont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168" fontId="0" fillId="0" borderId="0" xfId="0" applyNumberFormat="1"/>
    <xf numFmtId="174" fontId="2" fillId="0" borderId="1" xfId="1" applyNumberFormat="1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10" fontId="2" fillId="0" borderId="3" xfId="0" applyNumberFormat="1" applyFont="1" applyBorder="1" applyAlignment="1">
      <alignment horizontal="center" wrapText="1"/>
    </xf>
    <xf numFmtId="10" fontId="2" fillId="0" borderId="0" xfId="0" applyNumberFormat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BB0A-A6A5-4798-A542-96CAB53B4FC3}">
  <dimension ref="A1:M27"/>
  <sheetViews>
    <sheetView zoomScale="140" zoomScaleNormal="140" workbookViewId="0">
      <selection activeCell="D13" sqref="D13:D18"/>
    </sheetView>
  </sheetViews>
  <sheetFormatPr defaultRowHeight="15" x14ac:dyDescent="0.25"/>
  <cols>
    <col min="2" max="2" width="13.28515625" bestFit="1" customWidth="1"/>
    <col min="3" max="3" width="12.7109375" bestFit="1" customWidth="1"/>
    <col min="6" max="6" width="12.7109375" bestFit="1" customWidth="1"/>
    <col min="7" max="7" width="22.42578125" bestFit="1" customWidth="1"/>
    <col min="8" max="8" width="22.42578125" customWidth="1"/>
    <col min="9" max="9" width="24.5703125" customWidth="1"/>
  </cols>
  <sheetData>
    <row r="1" spans="1:13" ht="15.75" thickBot="1" x14ac:dyDescent="0.3">
      <c r="A1" s="1" t="s">
        <v>0</v>
      </c>
      <c r="B1" s="1"/>
      <c r="C1" s="1"/>
      <c r="D1" s="2"/>
      <c r="E1" s="1">
        <v>3.3</v>
      </c>
      <c r="F1" s="1">
        <v>1</v>
      </c>
      <c r="G1" s="2"/>
      <c r="H1" s="10"/>
    </row>
    <row r="2" spans="1:13" ht="15.75" thickBot="1" x14ac:dyDescent="0.3">
      <c r="A2" s="1" t="s">
        <v>1</v>
      </c>
      <c r="B2" s="1"/>
      <c r="C2" s="1"/>
      <c r="D2" s="2"/>
      <c r="E2" s="1">
        <v>1000</v>
      </c>
      <c r="F2" s="2"/>
      <c r="G2" s="2"/>
      <c r="H2" s="10"/>
    </row>
    <row r="3" spans="1:13" ht="15.75" thickBot="1" x14ac:dyDescent="0.3">
      <c r="A3" s="1" t="s">
        <v>2</v>
      </c>
      <c r="B3" s="1"/>
      <c r="C3" s="1"/>
      <c r="D3" s="1">
        <v>0</v>
      </c>
      <c r="E3" s="1">
        <v>0</v>
      </c>
      <c r="F3" s="1">
        <v>0</v>
      </c>
      <c r="G3" s="4">
        <v>0</v>
      </c>
      <c r="H3" s="11"/>
      <c r="I3" s="6">
        <v>0</v>
      </c>
      <c r="J3">
        <v>3</v>
      </c>
      <c r="K3" s="5">
        <v>470</v>
      </c>
      <c r="L3" cm="1">
        <f t="array" ref="L3:L27">_xlfn._xlws.SORT(K3:K27)</f>
        <v>100</v>
      </c>
    </row>
    <row r="4" spans="1:13" ht="15.75" thickBot="1" x14ac:dyDescent="0.3">
      <c r="A4" s="1" t="s">
        <v>2</v>
      </c>
      <c r="B4" s="9">
        <f>($E$1*$E$2)/C4-$E$2</f>
        <v>6000.0000000000009</v>
      </c>
      <c r="C4" s="9">
        <f>$E$1*I4</f>
        <v>0.47142857142857136</v>
      </c>
      <c r="D4" cm="1">
        <f t="array" ref="D4">INDEX($K$3:$K$27,J3)</f>
        <v>150</v>
      </c>
      <c r="E4">
        <f>SUM($D$3:D4)</f>
        <v>150</v>
      </c>
      <c r="F4" s="1">
        <f>$E$1*E4/(E4+$E$2)</f>
        <v>0.43043478260869567</v>
      </c>
      <c r="G4" s="4">
        <f>F4/$E$1</f>
        <v>0.13043478260869568</v>
      </c>
      <c r="H4" s="12">
        <f>G4-G3</f>
        <v>0.13043478260869568</v>
      </c>
      <c r="I4">
        <f>1/7+I3</f>
        <v>0.14285714285714285</v>
      </c>
      <c r="J4">
        <v>6</v>
      </c>
      <c r="K4">
        <v>680</v>
      </c>
      <c r="L4">
        <v>150</v>
      </c>
      <c r="M4">
        <v>22</v>
      </c>
    </row>
    <row r="5" spans="1:13" ht="15.75" thickBot="1" x14ac:dyDescent="0.3">
      <c r="A5" s="1" t="s">
        <v>2</v>
      </c>
      <c r="B5" s="9">
        <f t="shared" ref="B5:B9" si="0">($E$1*$E$2)/C5-$E$2</f>
        <v>2500.0000000000005</v>
      </c>
      <c r="C5" s="9">
        <f t="shared" ref="C5:C9" si="1">$E$1*I5</f>
        <v>0.94285714285714273</v>
      </c>
      <c r="D5" cm="1">
        <f t="array" ref="D5">INDEX($K$3:$K$27,J4)</f>
        <v>200000</v>
      </c>
      <c r="E5">
        <f>SUM($D$3:D5)</f>
        <v>200150</v>
      </c>
      <c r="F5" s="1">
        <f>$E$1*E5/(E5+$E$2)</f>
        <v>3.2835943325876213</v>
      </c>
      <c r="G5" s="4">
        <f t="shared" ref="G5:G9" si="2">F5/$E$1</f>
        <v>0.99502858563261254</v>
      </c>
      <c r="H5" s="12">
        <f t="shared" ref="H5:H9" si="3">G5-G4</f>
        <v>0.86459380302391686</v>
      </c>
      <c r="I5">
        <f t="shared" ref="I5:I9" si="4">1/7+I4</f>
        <v>0.2857142857142857</v>
      </c>
      <c r="J5">
        <v>1</v>
      </c>
      <c r="K5">
        <v>150</v>
      </c>
      <c r="L5">
        <v>200</v>
      </c>
      <c r="M5">
        <v>10</v>
      </c>
    </row>
    <row r="6" spans="1:13" ht="15.75" thickBot="1" x14ac:dyDescent="0.3">
      <c r="A6" s="1" t="s">
        <v>2</v>
      </c>
      <c r="B6" s="9">
        <f t="shared" si="0"/>
        <v>1333.3333333333335</v>
      </c>
      <c r="C6" s="9">
        <f t="shared" si="1"/>
        <v>1.4142857142857141</v>
      </c>
      <c r="D6" cm="1">
        <f t="array" ref="D6">INDEX($K$3:$K$27,J5)</f>
        <v>470</v>
      </c>
      <c r="E6">
        <f>SUM($D$3:D6)</f>
        <v>200620</v>
      </c>
      <c r="F6" s="1">
        <f>$E$1*E6/(E6+$E$2)</f>
        <v>3.28363257613332</v>
      </c>
      <c r="G6" s="4">
        <f t="shared" si="2"/>
        <v>0.99504017458585459</v>
      </c>
      <c r="H6" s="12">
        <f t="shared" si="3"/>
        <v>1.1588953242047673E-5</v>
      </c>
      <c r="I6">
        <f t="shared" si="4"/>
        <v>0.42857142857142855</v>
      </c>
      <c r="J6">
        <v>2</v>
      </c>
      <c r="K6">
        <v>100</v>
      </c>
      <c r="L6">
        <v>220</v>
      </c>
      <c r="M6">
        <v>47</v>
      </c>
    </row>
    <row r="7" spans="1:13" ht="15.75" thickBot="1" x14ac:dyDescent="0.3">
      <c r="A7" s="1" t="s">
        <v>2</v>
      </c>
      <c r="B7" s="9">
        <f t="shared" si="0"/>
        <v>750.00000000000023</v>
      </c>
      <c r="C7" s="9">
        <f t="shared" si="1"/>
        <v>1.8857142857142855</v>
      </c>
      <c r="D7" cm="1">
        <f t="array" ref="D7">INDEX($K$3:$K$27,J6)</f>
        <v>680</v>
      </c>
      <c r="E7">
        <f>SUM($D$3:D7)</f>
        <v>201300</v>
      </c>
      <c r="F7" s="1">
        <f>$E$1*E7/(E7+$E$2)</f>
        <v>3.2836875926841325</v>
      </c>
      <c r="G7" s="4">
        <f t="shared" si="2"/>
        <v>0.99505684626791902</v>
      </c>
      <c r="H7" s="12">
        <f t="shared" si="3"/>
        <v>1.6671682064428595E-5</v>
      </c>
      <c r="I7">
        <f t="shared" si="4"/>
        <v>0.5714285714285714</v>
      </c>
      <c r="J7">
        <v>4</v>
      </c>
      <c r="K7">
        <v>100000</v>
      </c>
      <c r="L7">
        <v>270</v>
      </c>
    </row>
    <row r="8" spans="1:13" ht="15.75" thickBot="1" x14ac:dyDescent="0.3">
      <c r="A8" s="2"/>
      <c r="B8" s="9">
        <f t="shared" si="0"/>
        <v>400.00000000000023</v>
      </c>
      <c r="C8" s="9">
        <f t="shared" si="1"/>
        <v>2.3571428571428568</v>
      </c>
      <c r="D8" cm="1">
        <f t="array" ref="D8">INDEX($K$3:$K$27,J7)</f>
        <v>100</v>
      </c>
      <c r="E8">
        <f>SUM($D$3:D8)</f>
        <v>201400</v>
      </c>
      <c r="F8" s="1">
        <f>$E$1*E8/(E8+$E$2)</f>
        <v>3.2836956521739129</v>
      </c>
      <c r="G8" s="4">
        <f t="shared" si="2"/>
        <v>0.99505928853754944</v>
      </c>
      <c r="H8" s="12">
        <f t="shared" si="3"/>
        <v>2.4422696304204905E-6</v>
      </c>
      <c r="I8">
        <f t="shared" si="4"/>
        <v>0.71428571428571419</v>
      </c>
      <c r="J8">
        <v>5</v>
      </c>
      <c r="K8">
        <v>200000</v>
      </c>
      <c r="L8">
        <v>330</v>
      </c>
    </row>
    <row r="9" spans="1:13" ht="15.75" thickBot="1" x14ac:dyDescent="0.3">
      <c r="A9" s="2"/>
      <c r="B9" s="9">
        <f t="shared" si="0"/>
        <v>166.66666666666697</v>
      </c>
      <c r="C9" s="9">
        <f t="shared" si="1"/>
        <v>2.8285714285714278</v>
      </c>
      <c r="D9" cm="1">
        <f t="array" ref="D9">INDEX($K$3:$K$27,J8)</f>
        <v>100000</v>
      </c>
      <c r="E9">
        <f>SUM($D$3:D9)</f>
        <v>301400</v>
      </c>
      <c r="F9" s="1">
        <f>$E$1*E9/(E9+$E$2)</f>
        <v>3.2890873015873017</v>
      </c>
      <c r="G9" s="4">
        <f t="shared" si="2"/>
        <v>0.99669312169312174</v>
      </c>
      <c r="H9" s="12">
        <f t="shared" si="3"/>
        <v>1.6338331555723062E-3</v>
      </c>
      <c r="I9">
        <f t="shared" si="4"/>
        <v>0.85714285714285698</v>
      </c>
      <c r="J9">
        <v>5</v>
      </c>
      <c r="K9">
        <v>200</v>
      </c>
      <c r="L9">
        <v>470</v>
      </c>
    </row>
    <row r="10" spans="1:13" ht="15.75" thickBot="1" x14ac:dyDescent="0.3">
      <c r="A10" s="2"/>
      <c r="B10" s="10"/>
      <c r="C10" s="10"/>
      <c r="F10" s="2"/>
      <c r="G10" s="8">
        <f>_xlfn.STDEV.S(H4:H9)</f>
        <v>0.34611331962199926</v>
      </c>
      <c r="H10" s="8"/>
      <c r="I10" s="8">
        <f>ABS(_xlfn.STDEV.S(I3:I9))</f>
        <v>0.30860669992418394</v>
      </c>
      <c r="J10">
        <v>5</v>
      </c>
      <c r="K10">
        <v>6800</v>
      </c>
      <c r="L10">
        <v>510</v>
      </c>
    </row>
    <row r="11" spans="1:13" x14ac:dyDescent="0.25">
      <c r="G11">
        <f>+ABS(AVERAGE(H4:H9)-I4)</f>
        <v>2.3258377425044108E-2</v>
      </c>
      <c r="I11">
        <f>AVERAGE(I4:I9)</f>
        <v>0.49999999999999983</v>
      </c>
      <c r="J11">
        <v>5</v>
      </c>
      <c r="K11">
        <v>2000</v>
      </c>
      <c r="L11">
        <v>680</v>
      </c>
    </row>
    <row r="12" spans="1:13" x14ac:dyDescent="0.25">
      <c r="G12" s="7">
        <f>SUM(G10:G11)</f>
        <v>0.36937169704704337</v>
      </c>
      <c r="H12" s="7"/>
      <c r="I12" s="7">
        <f>SUM(I10:I11)</f>
        <v>0.80860669992418377</v>
      </c>
      <c r="J12">
        <v>5</v>
      </c>
      <c r="K12">
        <v>20000</v>
      </c>
      <c r="L12">
        <v>1000</v>
      </c>
    </row>
    <row r="13" spans="1:13" x14ac:dyDescent="0.25">
      <c r="D13">
        <v>200</v>
      </c>
      <c r="J13">
        <v>5</v>
      </c>
      <c r="K13">
        <v>470000</v>
      </c>
      <c r="L13">
        <v>2000</v>
      </c>
    </row>
    <row r="14" spans="1:13" x14ac:dyDescent="0.25">
      <c r="D14">
        <v>470</v>
      </c>
      <c r="J14">
        <v>5</v>
      </c>
      <c r="K14">
        <v>5100</v>
      </c>
      <c r="L14">
        <v>2200</v>
      </c>
    </row>
    <row r="15" spans="1:13" x14ac:dyDescent="0.25">
      <c r="D15">
        <v>680</v>
      </c>
      <c r="J15">
        <v>13</v>
      </c>
      <c r="K15">
        <v>220</v>
      </c>
      <c r="L15">
        <v>3300</v>
      </c>
    </row>
    <row r="16" spans="1:13" x14ac:dyDescent="0.25">
      <c r="D16">
        <v>1200</v>
      </c>
      <c r="J16">
        <v>14</v>
      </c>
      <c r="K16">
        <v>10000</v>
      </c>
      <c r="L16">
        <v>4700</v>
      </c>
    </row>
    <row r="17" spans="4:12" x14ac:dyDescent="0.25">
      <c r="D17">
        <v>2200</v>
      </c>
      <c r="J17">
        <v>15</v>
      </c>
      <c r="K17">
        <v>270</v>
      </c>
      <c r="L17">
        <v>5100</v>
      </c>
    </row>
    <row r="18" spans="4:12" x14ac:dyDescent="0.25">
      <c r="D18">
        <v>6800</v>
      </c>
      <c r="J18">
        <v>16</v>
      </c>
      <c r="K18">
        <v>1000</v>
      </c>
      <c r="L18">
        <v>6800</v>
      </c>
    </row>
    <row r="19" spans="4:12" x14ac:dyDescent="0.25">
      <c r="J19">
        <v>18</v>
      </c>
      <c r="K19">
        <v>4700</v>
      </c>
      <c r="L19">
        <v>10000</v>
      </c>
    </row>
    <row r="20" spans="4:12" x14ac:dyDescent="0.25">
      <c r="J20">
        <v>17</v>
      </c>
      <c r="K20">
        <v>3300</v>
      </c>
      <c r="L20">
        <v>20000</v>
      </c>
    </row>
    <row r="21" spans="4:12" x14ac:dyDescent="0.25">
      <c r="J21">
        <v>19</v>
      </c>
      <c r="K21">
        <v>1000000</v>
      </c>
      <c r="L21">
        <v>68000</v>
      </c>
    </row>
    <row r="22" spans="4:12" x14ac:dyDescent="0.25">
      <c r="J22">
        <v>20</v>
      </c>
      <c r="K22">
        <v>680000</v>
      </c>
      <c r="L22">
        <v>100000</v>
      </c>
    </row>
    <row r="23" spans="4:12" x14ac:dyDescent="0.25">
      <c r="J23">
        <v>21</v>
      </c>
      <c r="K23">
        <v>330</v>
      </c>
      <c r="L23">
        <v>200000</v>
      </c>
    </row>
    <row r="24" spans="4:12" x14ac:dyDescent="0.25">
      <c r="J24">
        <v>22</v>
      </c>
      <c r="K24">
        <v>2200</v>
      </c>
      <c r="L24">
        <v>300000</v>
      </c>
    </row>
    <row r="25" spans="4:12" x14ac:dyDescent="0.25">
      <c r="J25">
        <v>23</v>
      </c>
      <c r="K25">
        <v>68000</v>
      </c>
      <c r="L25">
        <v>470000</v>
      </c>
    </row>
    <row r="26" spans="4:12" x14ac:dyDescent="0.25">
      <c r="J26">
        <v>24</v>
      </c>
      <c r="K26">
        <v>300000</v>
      </c>
      <c r="L26">
        <v>680000</v>
      </c>
    </row>
    <row r="27" spans="4:12" x14ac:dyDescent="0.25">
      <c r="J27">
        <v>25</v>
      </c>
      <c r="K27">
        <v>510</v>
      </c>
      <c r="L27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08C5-7FD3-4D6B-9127-62D4F00C9027}">
  <dimension ref="A1:J27"/>
  <sheetViews>
    <sheetView tabSelected="1" zoomScale="140" zoomScaleNormal="140" workbookViewId="0">
      <selection activeCell="C2" sqref="C2"/>
    </sheetView>
  </sheetViews>
  <sheetFormatPr defaultRowHeight="15" x14ac:dyDescent="0.25"/>
  <cols>
    <col min="4" max="4" width="12.7109375" bestFit="1" customWidth="1"/>
  </cols>
  <sheetData>
    <row r="1" spans="1:10" ht="15.75" thickBot="1" x14ac:dyDescent="0.3">
      <c r="A1" s="1" t="s">
        <v>0</v>
      </c>
      <c r="B1" s="2"/>
      <c r="C1" s="1">
        <v>3.3</v>
      </c>
      <c r="D1" s="1">
        <v>1</v>
      </c>
      <c r="E1" s="2"/>
    </row>
    <row r="2" spans="1:10" ht="15.75" thickBot="1" x14ac:dyDescent="0.3">
      <c r="A2" s="1" t="s">
        <v>1</v>
      </c>
      <c r="B2" s="2"/>
      <c r="C2" s="1">
        <v>2000</v>
      </c>
      <c r="D2" s="2"/>
      <c r="E2" s="2"/>
    </row>
    <row r="3" spans="1:10" ht="15.75" thickBot="1" x14ac:dyDescent="0.3">
      <c r="A3" s="1" t="s">
        <v>2</v>
      </c>
      <c r="B3" s="1">
        <v>0</v>
      </c>
      <c r="C3" s="1">
        <v>0</v>
      </c>
      <c r="D3" s="1">
        <v>0</v>
      </c>
      <c r="E3" s="4">
        <v>0</v>
      </c>
      <c r="F3" s="3">
        <f t="shared" ref="F3:F9" si="0">E3-E2</f>
        <v>0</v>
      </c>
      <c r="G3" s="5">
        <v>470</v>
      </c>
    </row>
    <row r="4" spans="1:10" ht="15.75" thickBot="1" x14ac:dyDescent="0.3">
      <c r="A4" s="1" t="s">
        <v>2</v>
      </c>
      <c r="B4">
        <v>200</v>
      </c>
      <c r="C4" s="1">
        <f>SUM($B$3:B4)</f>
        <v>200</v>
      </c>
      <c r="D4" s="1">
        <f>$C$1*C4/(C4+$C$2)</f>
        <v>0.3</v>
      </c>
      <c r="E4" s="4">
        <f>D4/$C$1</f>
        <v>9.0909090909090912E-2</v>
      </c>
      <c r="F4" s="3">
        <f t="shared" si="0"/>
        <v>9.0909090909090912E-2</v>
      </c>
      <c r="G4">
        <v>680</v>
      </c>
      <c r="J4">
        <v>22</v>
      </c>
    </row>
    <row r="5" spans="1:10" ht="15.75" thickBot="1" x14ac:dyDescent="0.3">
      <c r="A5" s="1" t="s">
        <v>2</v>
      </c>
      <c r="B5">
        <v>470</v>
      </c>
      <c r="C5" s="1">
        <f>SUM($B$3:B5)</f>
        <v>670</v>
      </c>
      <c r="D5" s="1">
        <f t="shared" ref="D5:D9" si="1">$C$1*C5/(C5+$C$2)</f>
        <v>0.82808988764044944</v>
      </c>
      <c r="E5" s="4">
        <f t="shared" ref="E5:E9" si="2">D5/$C$1</f>
        <v>0.25093632958801498</v>
      </c>
      <c r="F5" s="3">
        <f>E5-E4</f>
        <v>0.16002723867892407</v>
      </c>
      <c r="G5">
        <v>150</v>
      </c>
      <c r="J5">
        <v>10</v>
      </c>
    </row>
    <row r="6" spans="1:10" ht="15.75" thickBot="1" x14ac:dyDescent="0.3">
      <c r="A6" s="1" t="s">
        <v>2</v>
      </c>
      <c r="B6">
        <v>680</v>
      </c>
      <c r="C6" s="1">
        <f>SUM($B$3:B6)</f>
        <v>1350</v>
      </c>
      <c r="D6" s="1">
        <f t="shared" si="1"/>
        <v>1.3298507462686566</v>
      </c>
      <c r="E6" s="4">
        <f t="shared" si="2"/>
        <v>0.40298507462686567</v>
      </c>
      <c r="F6" s="3">
        <f t="shared" si="0"/>
        <v>0.15204874503885069</v>
      </c>
      <c r="G6">
        <v>100</v>
      </c>
      <c r="J6">
        <v>47</v>
      </c>
    </row>
    <row r="7" spans="1:10" ht="15.75" thickBot="1" x14ac:dyDescent="0.3">
      <c r="A7" s="1" t="s">
        <v>2</v>
      </c>
      <c r="B7">
        <v>1200</v>
      </c>
      <c r="C7" s="1">
        <f>SUM($B$3:B7)</f>
        <v>2550</v>
      </c>
      <c r="D7" s="1">
        <f t="shared" si="1"/>
        <v>1.8494505494505495</v>
      </c>
      <c r="E7" s="4">
        <f t="shared" si="2"/>
        <v>0.56043956043956045</v>
      </c>
      <c r="F7" s="3">
        <f t="shared" si="0"/>
        <v>0.15745448581269478</v>
      </c>
      <c r="G7">
        <v>100000</v>
      </c>
    </row>
    <row r="8" spans="1:10" ht="15.75" thickBot="1" x14ac:dyDescent="0.3">
      <c r="A8" s="2"/>
      <c r="B8">
        <v>2200</v>
      </c>
      <c r="C8" s="1">
        <f>SUM($B$3:B8)</f>
        <v>4750</v>
      </c>
      <c r="D8" s="1">
        <f t="shared" si="1"/>
        <v>2.3222222222222224</v>
      </c>
      <c r="E8" s="4">
        <f t="shared" si="2"/>
        <v>0.70370370370370383</v>
      </c>
      <c r="F8" s="3">
        <f t="shared" si="0"/>
        <v>0.14326414326414338</v>
      </c>
      <c r="G8">
        <v>200000</v>
      </c>
    </row>
    <row r="9" spans="1:10" ht="15.75" thickBot="1" x14ac:dyDescent="0.3">
      <c r="A9" s="2"/>
      <c r="B9">
        <v>6800</v>
      </c>
      <c r="C9" s="1">
        <f>SUM($B$3:B9)</f>
        <v>11550</v>
      </c>
      <c r="D9" s="1">
        <f t="shared" si="1"/>
        <v>2.8129151291512917</v>
      </c>
      <c r="E9" s="4">
        <f t="shared" si="2"/>
        <v>0.85239852398523996</v>
      </c>
      <c r="F9" s="3">
        <f t="shared" si="0"/>
        <v>0.14869482028153613</v>
      </c>
      <c r="G9">
        <v>200</v>
      </c>
    </row>
    <row r="10" spans="1:10" ht="15.75" thickBot="1" x14ac:dyDescent="0.3">
      <c r="A10" s="2"/>
      <c r="B10" s="2"/>
      <c r="C10" s="2"/>
      <c r="D10" s="2"/>
      <c r="E10" s="2"/>
      <c r="G10">
        <v>6800</v>
      </c>
    </row>
    <row r="11" spans="1:10" x14ac:dyDescent="0.25">
      <c r="G11">
        <v>2000</v>
      </c>
    </row>
    <row r="12" spans="1:10" x14ac:dyDescent="0.25">
      <c r="G12">
        <v>20000</v>
      </c>
    </row>
    <row r="13" spans="1:10" x14ac:dyDescent="0.25">
      <c r="G13">
        <v>470000</v>
      </c>
    </row>
    <row r="14" spans="1:10" x14ac:dyDescent="0.25">
      <c r="G14">
        <v>5100</v>
      </c>
    </row>
    <row r="15" spans="1:10" x14ac:dyDescent="0.25">
      <c r="G15">
        <v>220</v>
      </c>
    </row>
    <row r="16" spans="1:10" x14ac:dyDescent="0.25">
      <c r="G16">
        <v>10000</v>
      </c>
    </row>
    <row r="17" spans="7:7" x14ac:dyDescent="0.25">
      <c r="G17">
        <v>270</v>
      </c>
    </row>
    <row r="18" spans="7:7" x14ac:dyDescent="0.25">
      <c r="G18">
        <v>1000</v>
      </c>
    </row>
    <row r="19" spans="7:7" x14ac:dyDescent="0.25">
      <c r="G19">
        <v>4700</v>
      </c>
    </row>
    <row r="20" spans="7:7" x14ac:dyDescent="0.25">
      <c r="G20">
        <v>3300</v>
      </c>
    </row>
    <row r="21" spans="7:7" x14ac:dyDescent="0.25">
      <c r="G21">
        <v>1000000</v>
      </c>
    </row>
    <row r="22" spans="7:7" x14ac:dyDescent="0.25">
      <c r="G22">
        <v>680000</v>
      </c>
    </row>
    <row r="23" spans="7:7" x14ac:dyDescent="0.25">
      <c r="G23">
        <v>330</v>
      </c>
    </row>
    <row r="24" spans="7:7" x14ac:dyDescent="0.25">
      <c r="G24">
        <v>2200</v>
      </c>
    </row>
    <row r="25" spans="7:7" x14ac:dyDescent="0.25">
      <c r="G25">
        <v>68000</v>
      </c>
    </row>
    <row r="26" spans="7:7" x14ac:dyDescent="0.25">
      <c r="G26">
        <v>300000</v>
      </c>
    </row>
    <row r="27" spans="7:7" x14ac:dyDescent="0.25">
      <c r="G27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Giovany Osorio Gutierrez</dc:creator>
  <cp:lastModifiedBy>Fredy Giovany Osorio Gutierrez</cp:lastModifiedBy>
  <dcterms:created xsi:type="dcterms:W3CDTF">2026-04-18T13:28:53Z</dcterms:created>
  <dcterms:modified xsi:type="dcterms:W3CDTF">2026-04-18T16:26:28Z</dcterms:modified>
</cp:coreProperties>
</file>